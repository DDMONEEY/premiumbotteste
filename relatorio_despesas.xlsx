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abri\OneDrive\Área de Trabalho\"/>
    </mc:Choice>
  </mc:AlternateContent>
  <xr:revisionPtr revIDLastSave="0" documentId="8_{B8B3B21B-63CA-4E1D-9B73-4A42F3B69124}" xr6:coauthVersionLast="47" xr6:coauthVersionMax="47" xr10:uidLastSave="{00000000-0000-0000-0000-000000000000}"/>
  <bookViews>
    <workbookView xWindow="-120" yWindow="-120" windowWidth="20730" windowHeight="11160" xr2:uid="{B605E489-725D-4BF6-B578-4B121737C8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1" l="1"/>
  <c r="J41" i="1"/>
  <c r="G41" i="1"/>
  <c r="E41" i="1"/>
  <c r="C41" i="1"/>
  <c r="A41" i="1"/>
  <c r="B38" i="1"/>
  <c r="B37" i="1"/>
  <c r="B36" i="1"/>
  <c r="H38" i="1"/>
  <c r="H37" i="1"/>
  <c r="H36" i="1"/>
  <c r="I23" i="1"/>
  <c r="D23" i="1"/>
  <c r="I24" i="1"/>
  <c r="D24" i="1"/>
  <c r="I25" i="1"/>
  <c r="D25" i="1"/>
  <c r="I26" i="1"/>
  <c r="D26" i="1"/>
  <c r="I27" i="1"/>
  <c r="D27" i="1"/>
  <c r="I28" i="1"/>
  <c r="D28" i="1"/>
  <c r="I29" i="1"/>
  <c r="D29" i="1"/>
  <c r="I30" i="1"/>
  <c r="D30" i="1"/>
  <c r="I31" i="1"/>
  <c r="D31" i="1"/>
  <c r="I32" i="1"/>
  <c r="D32" i="1"/>
  <c r="I33" i="1"/>
  <c r="D33" i="1"/>
  <c r="I34" i="1"/>
  <c r="D34" i="1"/>
  <c r="D13" i="1"/>
  <c r="I13" i="1"/>
  <c r="F53" i="1"/>
  <c r="L53" i="1"/>
  <c r="L51" i="1"/>
  <c r="L49" i="1"/>
  <c r="L47" i="1"/>
  <c r="L45" i="1"/>
  <c r="F49" i="1"/>
  <c r="I15" i="1"/>
  <c r="I16" i="1"/>
  <c r="I17" i="1"/>
  <c r="I18" i="1"/>
  <c r="I19" i="1"/>
  <c r="I20" i="1"/>
  <c r="I21" i="1"/>
  <c r="I22" i="1"/>
  <c r="I14" i="1"/>
  <c r="D14" i="1"/>
  <c r="D15" i="1"/>
  <c r="D16" i="1"/>
  <c r="D17" i="1"/>
  <c r="D18" i="1"/>
  <c r="D19" i="1"/>
  <c r="D20" i="1"/>
  <c r="D21" i="1"/>
  <c r="D22" i="1"/>
  <c r="D35" i="1" l="1"/>
  <c r="E45" i="1" s="1"/>
  <c r="F45" i="1" s="1"/>
  <c r="I35" i="1"/>
  <c r="G57" i="1"/>
  <c r="G55" i="1" l="1"/>
  <c r="E47" i="1"/>
  <c r="F47" i="1" s="1"/>
  <c r="G56" i="1" s="1"/>
  <c r="G5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Souza</author>
  </authors>
  <commentList>
    <comment ref="F45" authorId="0" shapeId="0" xr:uid="{4AA4CFC9-9C59-4127-8B16-B610E5DCB626}">
      <text>
        <r>
          <rPr>
            <b/>
            <sz val="9"/>
            <color indexed="81"/>
            <rFont val="Segoe UI"/>
            <charset val="1"/>
          </rPr>
          <t>📑 Honorário
Valor mínimo já pré-definido.</t>
        </r>
      </text>
    </comment>
    <comment ref="C51" authorId="0" shapeId="0" xr:uid="{DA47AB68-802E-4351-8CB6-B4E5012EFE4F}">
      <text>
        <r>
          <rPr>
            <b/>
            <sz val="9"/>
            <color indexed="81"/>
            <rFont val="Segoe UI"/>
            <family val="2"/>
          </rPr>
          <t xml:space="preserve">🏨 Hospedagem
Preencher exatamente conforme o valor da nota fiscal.
</t>
        </r>
      </text>
    </comment>
    <comment ref="F51" authorId="0" shapeId="0" xr:uid="{A4A9900C-624D-4DE2-ABFD-797220BBF607}">
      <text>
        <r>
          <rPr>
            <b/>
            <sz val="9"/>
            <color indexed="81"/>
            <rFont val="Segoe UI"/>
            <family val="2"/>
          </rPr>
          <t>💰 Valores de Hospedagem
O limite máximo reembolsável é de R$ 130,00.
⚠️ Atenção: Caso o valor ultrapasse esse limite, registre o excedente no campo de observações.</t>
        </r>
      </text>
    </comment>
    <comment ref="C53" authorId="0" shapeId="0" xr:uid="{4370FF85-D4BB-4E53-8D3C-474A41636FBE}">
      <text>
        <r>
          <rPr>
            <b/>
            <sz val="9"/>
            <color indexed="81"/>
            <rFont val="Segoe UI"/>
            <family val="2"/>
          </rPr>
          <t>🧾 Refeição
Preencher exatamente conforme o valor da nota fiscal.</t>
        </r>
      </text>
    </comment>
    <comment ref="F53" authorId="0" shapeId="0" xr:uid="{75B37427-2873-4197-B334-045AC605AA0F}">
      <text>
        <r>
          <rPr>
            <b/>
            <sz val="9"/>
            <color indexed="81"/>
            <rFont val="Segoe UI"/>
            <family val="2"/>
          </rPr>
          <t xml:space="preserve">🍽️ Valores de Refeição
O limite máximo reembolsável é de R$ 35,00.
⚠️ Atenção: Caso o valor ultrapasse esse limite, registre o excedente no campo de observações.
</t>
        </r>
      </text>
    </comment>
  </commentList>
</comments>
</file>

<file path=xl/sharedStrings.xml><?xml version="1.0" encoding="utf-8"?>
<sst xmlns="http://schemas.openxmlformats.org/spreadsheetml/2006/main" count="113" uniqueCount="54">
  <si>
    <t>TOTAL</t>
  </si>
  <si>
    <t>Data</t>
  </si>
  <si>
    <t>Hora Inicial</t>
  </si>
  <si>
    <t>Hora Final</t>
  </si>
  <si>
    <t>Total</t>
  </si>
  <si>
    <t>Descrição detalhada</t>
  </si>
  <si>
    <t>Total Horas</t>
  </si>
  <si>
    <t>KM Inicial</t>
  </si>
  <si>
    <t>KM Final</t>
  </si>
  <si>
    <t>KM Total</t>
  </si>
  <si>
    <t>Origem (UF)</t>
  </si>
  <si>
    <t>Destino (UF)</t>
  </si>
  <si>
    <t>Dados da Seguradora/Segurado</t>
  </si>
  <si>
    <t>Dados do Vistoriador</t>
  </si>
  <si>
    <t>Seguradora</t>
  </si>
  <si>
    <t>Segurado</t>
  </si>
  <si>
    <t>Nº Sinistro</t>
  </si>
  <si>
    <t>Vistoriador</t>
  </si>
  <si>
    <t>Base</t>
  </si>
  <si>
    <t>CPF</t>
  </si>
  <si>
    <t>Dados para pagamento</t>
  </si>
  <si>
    <t>Banco</t>
  </si>
  <si>
    <t>Agência</t>
  </si>
  <si>
    <t>Conta</t>
  </si>
  <si>
    <t>Chave PIX</t>
  </si>
  <si>
    <t>Favorecido</t>
  </si>
  <si>
    <t>Detalhamento de Horas e KM</t>
  </si>
  <si>
    <t>00/00/00</t>
  </si>
  <si>
    <t>Total de quilômetros rodados:</t>
  </si>
  <si>
    <t>Total de horas trabalhadas:</t>
  </si>
  <si>
    <t>Destalhamento das demais despesas.</t>
  </si>
  <si>
    <t>Despesas próprias</t>
  </si>
  <si>
    <t>Serviços Contratados</t>
  </si>
  <si>
    <t>Hora Trabalhada</t>
  </si>
  <si>
    <t>KM Rodado</t>
  </si>
  <si>
    <t>Pedágio</t>
  </si>
  <si>
    <t>Hospedagem</t>
  </si>
  <si>
    <t>Refeição</t>
  </si>
  <si>
    <t>Valor unitário</t>
  </si>
  <si>
    <t>Quantidade</t>
  </si>
  <si>
    <t>Mão de Obra</t>
  </si>
  <si>
    <t>Munck/Guincho</t>
  </si>
  <si>
    <t>Empilhadeira</t>
  </si>
  <si>
    <t>Vigilância</t>
  </si>
  <si>
    <t>Outros</t>
  </si>
  <si>
    <t>CUSTOS TOTAIS</t>
  </si>
  <si>
    <t>HORA TRABALHADA</t>
  </si>
  <si>
    <t>KM RODADO</t>
  </si>
  <si>
    <t>DESPESAS PRÓPRIAS</t>
  </si>
  <si>
    <t>(-) ADIANTAMENTO</t>
  </si>
  <si>
    <t>DEMAIS OBSERVAÇÕES</t>
  </si>
  <si>
    <t>APÓS O PREENCHIMENTO, ENCAMINHAR A PLANILHA NOS E-MAILS:</t>
  </si>
  <si>
    <t>PREMIUM@PREMIUMREGULADORA.COM.BR e FINANCEIRO@PREMIUMREGULADORA.COM.BR</t>
  </si>
  <si>
    <t>Relatório De Despesas e Honorários - Premium Reguladora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</si>
</sst>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0"/>
      <color theme="1"/>
      <name val="Poppins"/>
    </font>
    <font>
      <sz val="10"/>
      <color theme="0"/>
      <name val="Poppins"/>
    </font>
    <font>
      <b/>
      <sz val="10"/>
      <color theme="0"/>
      <name val="Poppins"/>
    </font>
    <font>
      <b/>
      <sz val="12"/>
      <color theme="0"/>
      <name val="Poppins"/>
    </font>
    <font>
      <b/>
      <sz val="10"/>
      <name val="Poppins"/>
    </font>
    <font>
      <sz val="8"/>
      <name val="Calibri"/>
      <family val="2"/>
      <scheme val="minor"/>
    </font>
    <font>
      <b/>
      <sz val="10"/>
      <color theme="1"/>
      <name val="Poppins"/>
    </font>
    <font>
      <b/>
      <sz val="9"/>
      <color indexed="81"/>
      <name val="Segoe UI"/>
      <family val="2"/>
    </font>
    <font>
      <b/>
      <sz val="11"/>
      <color rgb="FFFF0000"/>
      <name val="Poppins"/>
    </font>
    <font>
      <sz val="10"/>
      <name val="Poppins"/>
    </font>
    <font>
      <b/>
      <sz val="9"/>
      <color indexed="81"/>
      <name val="Segoe UI"/>
      <charset val="1"/>
    </font>
    <font>
      <b/>
      <sz val="18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46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3" fillId="0" borderId="1" xfId="1" applyFont="1" applyFill="1" applyBorder="1" applyAlignment="1"/>
    <xf numFmtId="0" fontId="3" fillId="0" borderId="1" xfId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21" fontId="5" fillId="4" borderId="1" xfId="0" applyNumberFormat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2" xfId="1" applyFont="1" applyFill="1" applyBorder="1" applyAlignment="1">
      <alignment horizontal="center" vertical="center"/>
    </xf>
    <xf numFmtId="44" fontId="3" fillId="0" borderId="4" xfId="1" applyFont="1" applyFill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/>
    </xf>
    <xf numFmtId="44" fontId="3" fillId="0" borderId="5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14" fontId="5" fillId="3" borderId="8" xfId="0" applyNumberFormat="1" applyFont="1" applyFill="1" applyBorder="1" applyAlignment="1">
      <alignment horizontal="right" vertical="top"/>
    </xf>
    <xf numFmtId="14" fontId="5" fillId="3" borderId="7" xfId="0" applyNumberFormat="1" applyFont="1" applyFill="1" applyBorder="1" applyAlignment="1">
      <alignment horizontal="right" vertical="top"/>
    </xf>
    <xf numFmtId="14" fontId="5" fillId="3" borderId="9" xfId="0" applyNumberFormat="1" applyFont="1" applyFill="1" applyBorder="1" applyAlignment="1">
      <alignment horizontal="right" vertical="top"/>
    </xf>
    <xf numFmtId="0" fontId="5" fillId="3" borderId="8" xfId="0" applyFont="1" applyFill="1" applyBorder="1" applyAlignment="1">
      <alignment horizontal="right" vertical="top"/>
    </xf>
    <xf numFmtId="0" fontId="5" fillId="3" borderId="7" xfId="0" applyFont="1" applyFill="1" applyBorder="1" applyAlignment="1">
      <alignment horizontal="right" vertical="top"/>
    </xf>
    <xf numFmtId="0" fontId="5" fillId="3" borderId="9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54</xdr:row>
      <xdr:rowOff>104775</xdr:rowOff>
    </xdr:from>
    <xdr:to>
      <xdr:col>4</xdr:col>
      <xdr:colOff>818202</xdr:colOff>
      <xdr:row>58</xdr:row>
      <xdr:rowOff>141113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E31BDD-A4F1-4565-A875-478AC81E2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924925"/>
          <a:ext cx="3656652" cy="1026938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666750</xdr:colOff>
      <xdr:row>54</xdr:row>
      <xdr:rowOff>114300</xdr:rowOff>
    </xdr:from>
    <xdr:to>
      <xdr:col>12</xdr:col>
      <xdr:colOff>46677</xdr:colOff>
      <xdr:row>58</xdr:row>
      <xdr:rowOff>150638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8CA81C-E013-4A04-A88E-D4938200F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8934450"/>
          <a:ext cx="3656652" cy="1026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40C6-2CD9-4FF6-AC1C-18D41217E7DF}">
  <sheetPr codeName="Planilha1">
    <pageSetUpPr fitToPage="1"/>
  </sheetPr>
  <dimension ref="A1:U71"/>
  <sheetViews>
    <sheetView tabSelected="1" zoomScaleNormal="100" workbookViewId="0">
      <selection activeCell="F45" sqref="F45"/>
    </sheetView>
  </sheetViews>
  <sheetFormatPr defaultRowHeight="19.5" x14ac:dyDescent="0.55000000000000004"/>
  <cols>
    <col min="1" max="1" width="12.5703125" style="3" customWidth="1"/>
    <col min="2" max="2" width="13.5703125" style="3" bestFit="1" customWidth="1"/>
    <col min="3" max="3" width="12.140625" style="3" bestFit="1" customWidth="1"/>
    <col min="4" max="4" width="13.85546875" style="3" bestFit="1" customWidth="1"/>
    <col min="5" max="6" width="20.7109375" style="3" customWidth="1"/>
    <col min="7" max="9" width="11.7109375" style="3" customWidth="1"/>
    <col min="10" max="11" width="20.7109375" style="3" customWidth="1"/>
    <col min="12" max="12" width="11" style="3" bestFit="1" customWidth="1"/>
    <col min="13" max="16384" width="9.140625" style="3"/>
  </cols>
  <sheetData>
    <row r="1" spans="1:21" ht="15" customHeight="1" x14ac:dyDescent="0.55000000000000004">
      <c r="A1" s="66" t="s">
        <v>53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1"/>
      <c r="O1" s="1"/>
      <c r="P1" s="1"/>
      <c r="Q1" s="2"/>
      <c r="R1" s="1"/>
      <c r="S1" s="1"/>
      <c r="T1" s="1"/>
      <c r="U1" s="1"/>
    </row>
    <row r="2" spans="1:21" ht="15" customHeight="1" x14ac:dyDescent="0.55000000000000004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1"/>
      <c r="O2" s="1"/>
      <c r="P2" s="1"/>
      <c r="Q2" s="1"/>
      <c r="R2" s="1"/>
      <c r="S2" s="1"/>
      <c r="T2" s="1"/>
      <c r="U2" s="1"/>
    </row>
    <row r="3" spans="1:21" x14ac:dyDescent="0.55000000000000004">
      <c r="A3" s="27" t="s">
        <v>12</v>
      </c>
      <c r="B3" s="27"/>
      <c r="C3" s="27"/>
      <c r="D3" s="27"/>
      <c r="E3" s="27"/>
      <c r="F3" s="27"/>
      <c r="G3" s="27" t="s">
        <v>13</v>
      </c>
      <c r="H3" s="27"/>
      <c r="I3" s="27"/>
      <c r="J3" s="27"/>
      <c r="K3" s="27"/>
      <c r="L3" s="27"/>
      <c r="M3" s="27"/>
    </row>
    <row r="4" spans="1:21" x14ac:dyDescent="0.55000000000000004">
      <c r="A4" s="20" t="s">
        <v>14</v>
      </c>
      <c r="B4" s="28"/>
      <c r="C4" s="28"/>
      <c r="D4" s="28"/>
      <c r="E4" s="28"/>
      <c r="F4" s="28"/>
      <c r="G4" s="20" t="s">
        <v>17</v>
      </c>
      <c r="H4" s="28"/>
      <c r="I4" s="28"/>
      <c r="J4" s="28"/>
      <c r="K4" s="28"/>
      <c r="L4" s="28"/>
      <c r="M4" s="28"/>
    </row>
    <row r="5" spans="1:21" x14ac:dyDescent="0.55000000000000004">
      <c r="A5" s="20" t="s">
        <v>15</v>
      </c>
      <c r="B5" s="28"/>
      <c r="C5" s="28"/>
      <c r="D5" s="28"/>
      <c r="E5" s="28"/>
      <c r="F5" s="28"/>
      <c r="G5" s="20" t="s">
        <v>18</v>
      </c>
      <c r="H5" s="28"/>
      <c r="I5" s="28"/>
      <c r="J5" s="28"/>
      <c r="K5" s="28"/>
      <c r="L5" s="28"/>
      <c r="M5" s="28"/>
    </row>
    <row r="6" spans="1:21" x14ac:dyDescent="0.55000000000000004">
      <c r="A6" s="21" t="s">
        <v>16</v>
      </c>
      <c r="B6" s="28"/>
      <c r="C6" s="28"/>
      <c r="D6" s="28"/>
      <c r="E6" s="28"/>
      <c r="F6" s="28"/>
      <c r="G6" s="20" t="s">
        <v>19</v>
      </c>
      <c r="H6" s="28"/>
      <c r="I6" s="28"/>
      <c r="J6" s="28"/>
      <c r="K6" s="28"/>
      <c r="L6" s="28"/>
      <c r="M6" s="28"/>
    </row>
    <row r="7" spans="1:21" ht="23.25" x14ac:dyDescent="0.55000000000000004">
      <c r="A7" s="30" t="s">
        <v>20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21" x14ac:dyDescent="0.55000000000000004">
      <c r="A8" s="23" t="s">
        <v>21</v>
      </c>
      <c r="B8" s="23"/>
      <c r="C8" s="23" t="s">
        <v>22</v>
      </c>
      <c r="D8" s="23"/>
      <c r="E8" s="23" t="s">
        <v>23</v>
      </c>
      <c r="F8" s="23"/>
      <c r="G8" s="23" t="s">
        <v>24</v>
      </c>
      <c r="H8" s="23"/>
      <c r="I8" s="23"/>
      <c r="J8" s="23" t="s">
        <v>25</v>
      </c>
      <c r="K8" s="23"/>
      <c r="L8" s="23"/>
      <c r="M8" s="23"/>
    </row>
    <row r="9" spans="1:21" x14ac:dyDescent="0.5500000000000000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21" ht="6.75" customHeight="1" x14ac:dyDescent="0.55000000000000004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</row>
    <row r="11" spans="1:21" ht="23.25" x14ac:dyDescent="0.55000000000000004">
      <c r="A11" s="29" t="s">
        <v>26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21" x14ac:dyDescent="0.55000000000000004">
      <c r="A12" s="22" t="s">
        <v>1</v>
      </c>
      <c r="B12" s="22" t="s">
        <v>2</v>
      </c>
      <c r="C12" s="22" t="s">
        <v>3</v>
      </c>
      <c r="D12" s="22" t="s">
        <v>6</v>
      </c>
      <c r="E12" s="22" t="s">
        <v>10</v>
      </c>
      <c r="F12" s="22" t="s">
        <v>11</v>
      </c>
      <c r="G12" s="22" t="s">
        <v>7</v>
      </c>
      <c r="H12" s="22" t="s">
        <v>8</v>
      </c>
      <c r="I12" s="22" t="s">
        <v>9</v>
      </c>
      <c r="J12" s="25" t="s">
        <v>5</v>
      </c>
      <c r="K12" s="26"/>
      <c r="L12" s="26"/>
      <c r="M12" s="26"/>
      <c r="N12" s="1"/>
    </row>
    <row r="13" spans="1:21" x14ac:dyDescent="0.55000000000000004">
      <c r="A13" s="7" t="s">
        <v>27</v>
      </c>
      <c r="B13" s="8">
        <v>0</v>
      </c>
      <c r="C13" s="8">
        <v>0</v>
      </c>
      <c r="D13" s="9">
        <f>SUM(C13-B13)</f>
        <v>0</v>
      </c>
      <c r="E13" s="10"/>
      <c r="F13" s="10"/>
      <c r="G13" s="11"/>
      <c r="H13" s="11"/>
      <c r="I13" s="11">
        <f>SUM(H13-G13)</f>
        <v>0</v>
      </c>
      <c r="J13" s="31"/>
      <c r="K13" s="32"/>
      <c r="L13" s="32"/>
      <c r="M13" s="33"/>
    </row>
    <row r="14" spans="1:21" x14ac:dyDescent="0.55000000000000004">
      <c r="A14" s="7" t="s">
        <v>27</v>
      </c>
      <c r="B14" s="8">
        <v>0</v>
      </c>
      <c r="C14" s="8">
        <v>0</v>
      </c>
      <c r="D14" s="9">
        <f t="shared" ref="D14:D22" si="0">SUM(C14-B14)</f>
        <v>0</v>
      </c>
      <c r="E14" s="10"/>
      <c r="F14" s="10"/>
      <c r="G14" s="11"/>
      <c r="H14" s="11"/>
      <c r="I14" s="11">
        <f>SUM(H14-G14)</f>
        <v>0</v>
      </c>
      <c r="J14" s="31"/>
      <c r="K14" s="32"/>
      <c r="L14" s="32"/>
      <c r="M14" s="33"/>
    </row>
    <row r="15" spans="1:21" x14ac:dyDescent="0.55000000000000004">
      <c r="A15" s="7" t="s">
        <v>27</v>
      </c>
      <c r="B15" s="8">
        <v>0</v>
      </c>
      <c r="C15" s="8">
        <v>0</v>
      </c>
      <c r="D15" s="9">
        <f t="shared" si="0"/>
        <v>0</v>
      </c>
      <c r="E15" s="10"/>
      <c r="F15" s="10"/>
      <c r="G15" s="11"/>
      <c r="H15" s="11"/>
      <c r="I15" s="11">
        <f t="shared" ref="I15:I22" si="1">SUM(H15-G15)</f>
        <v>0</v>
      </c>
      <c r="J15" s="31"/>
      <c r="K15" s="32"/>
      <c r="L15" s="32"/>
      <c r="M15" s="33"/>
    </row>
    <row r="16" spans="1:21" x14ac:dyDescent="0.55000000000000004">
      <c r="A16" s="7" t="s">
        <v>27</v>
      </c>
      <c r="B16" s="8">
        <v>0</v>
      </c>
      <c r="C16" s="8">
        <v>0</v>
      </c>
      <c r="D16" s="9">
        <f t="shared" si="0"/>
        <v>0</v>
      </c>
      <c r="E16" s="10"/>
      <c r="F16" s="10"/>
      <c r="G16" s="11"/>
      <c r="H16" s="11"/>
      <c r="I16" s="11">
        <f t="shared" si="1"/>
        <v>0</v>
      </c>
      <c r="J16" s="31"/>
      <c r="K16" s="32"/>
      <c r="L16" s="32"/>
      <c r="M16" s="33"/>
    </row>
    <row r="17" spans="1:13" x14ac:dyDescent="0.55000000000000004">
      <c r="A17" s="7" t="s">
        <v>27</v>
      </c>
      <c r="B17" s="8">
        <v>0</v>
      </c>
      <c r="C17" s="8">
        <v>0</v>
      </c>
      <c r="D17" s="9">
        <f t="shared" si="0"/>
        <v>0</v>
      </c>
      <c r="E17" s="10"/>
      <c r="F17" s="10"/>
      <c r="G17" s="11"/>
      <c r="H17" s="11"/>
      <c r="I17" s="11">
        <f t="shared" si="1"/>
        <v>0</v>
      </c>
      <c r="J17" s="31"/>
      <c r="K17" s="32"/>
      <c r="L17" s="32"/>
      <c r="M17" s="33"/>
    </row>
    <row r="18" spans="1:13" x14ac:dyDescent="0.55000000000000004">
      <c r="A18" s="7" t="s">
        <v>27</v>
      </c>
      <c r="B18" s="8">
        <v>0</v>
      </c>
      <c r="C18" s="8">
        <v>0</v>
      </c>
      <c r="D18" s="9">
        <f t="shared" si="0"/>
        <v>0</v>
      </c>
      <c r="E18" s="10"/>
      <c r="F18" s="10"/>
      <c r="G18" s="11"/>
      <c r="H18" s="11"/>
      <c r="I18" s="11">
        <f t="shared" si="1"/>
        <v>0</v>
      </c>
      <c r="J18" s="31"/>
      <c r="K18" s="32"/>
      <c r="L18" s="32"/>
      <c r="M18" s="33"/>
    </row>
    <row r="19" spans="1:13" x14ac:dyDescent="0.55000000000000004">
      <c r="A19" s="7" t="s">
        <v>27</v>
      </c>
      <c r="B19" s="8">
        <v>0</v>
      </c>
      <c r="C19" s="8">
        <v>0</v>
      </c>
      <c r="D19" s="9">
        <f t="shared" si="0"/>
        <v>0</v>
      </c>
      <c r="E19" s="10"/>
      <c r="F19" s="10"/>
      <c r="G19" s="11"/>
      <c r="H19" s="11"/>
      <c r="I19" s="11">
        <f t="shared" si="1"/>
        <v>0</v>
      </c>
      <c r="J19" s="31"/>
      <c r="K19" s="32"/>
      <c r="L19" s="32"/>
      <c r="M19" s="33"/>
    </row>
    <row r="20" spans="1:13" x14ac:dyDescent="0.55000000000000004">
      <c r="A20" s="7" t="s">
        <v>27</v>
      </c>
      <c r="B20" s="8">
        <v>0</v>
      </c>
      <c r="C20" s="8">
        <v>0</v>
      </c>
      <c r="D20" s="9">
        <f t="shared" si="0"/>
        <v>0</v>
      </c>
      <c r="E20" s="10"/>
      <c r="F20" s="10"/>
      <c r="G20" s="11"/>
      <c r="H20" s="11"/>
      <c r="I20" s="11">
        <f t="shared" si="1"/>
        <v>0</v>
      </c>
      <c r="J20" s="31"/>
      <c r="K20" s="32"/>
      <c r="L20" s="32"/>
      <c r="M20" s="33"/>
    </row>
    <row r="21" spans="1:13" x14ac:dyDescent="0.55000000000000004">
      <c r="A21" s="7" t="s">
        <v>27</v>
      </c>
      <c r="B21" s="8">
        <v>0</v>
      </c>
      <c r="C21" s="8">
        <v>0</v>
      </c>
      <c r="D21" s="9">
        <f t="shared" si="0"/>
        <v>0</v>
      </c>
      <c r="E21" s="10"/>
      <c r="F21" s="10"/>
      <c r="G21" s="11"/>
      <c r="H21" s="11"/>
      <c r="I21" s="11">
        <f t="shared" si="1"/>
        <v>0</v>
      </c>
      <c r="J21" s="31"/>
      <c r="K21" s="32"/>
      <c r="L21" s="32"/>
      <c r="M21" s="33"/>
    </row>
    <row r="22" spans="1:13" x14ac:dyDescent="0.55000000000000004">
      <c r="A22" s="7" t="s">
        <v>27</v>
      </c>
      <c r="B22" s="8">
        <v>0</v>
      </c>
      <c r="C22" s="8">
        <v>0</v>
      </c>
      <c r="D22" s="9">
        <f t="shared" si="0"/>
        <v>0</v>
      </c>
      <c r="E22" s="10"/>
      <c r="F22" s="10"/>
      <c r="G22" s="11"/>
      <c r="H22" s="11"/>
      <c r="I22" s="11">
        <f t="shared" si="1"/>
        <v>0</v>
      </c>
      <c r="J22" s="31"/>
      <c r="K22" s="32"/>
      <c r="L22" s="32"/>
      <c r="M22" s="33"/>
    </row>
    <row r="23" spans="1:13" x14ac:dyDescent="0.55000000000000004">
      <c r="A23" s="7" t="s">
        <v>27</v>
      </c>
      <c r="B23" s="8">
        <v>0</v>
      </c>
      <c r="C23" s="8">
        <v>0</v>
      </c>
      <c r="D23" s="9">
        <f t="shared" ref="D23" si="2">SUM(C23-B23)</f>
        <v>0</v>
      </c>
      <c r="E23" s="10"/>
      <c r="F23" s="10"/>
      <c r="G23" s="11"/>
      <c r="H23" s="11"/>
      <c r="I23" s="11">
        <f t="shared" ref="I23" si="3">SUM(H23-G23)</f>
        <v>0</v>
      </c>
      <c r="J23" s="31"/>
      <c r="K23" s="32"/>
      <c r="L23" s="32"/>
      <c r="M23" s="33"/>
    </row>
    <row r="24" spans="1:13" x14ac:dyDescent="0.55000000000000004">
      <c r="A24" s="7" t="s">
        <v>27</v>
      </c>
      <c r="B24" s="8">
        <v>0</v>
      </c>
      <c r="C24" s="8">
        <v>0</v>
      </c>
      <c r="D24" s="9">
        <f t="shared" ref="D24" si="4">SUM(C24-B24)</f>
        <v>0</v>
      </c>
      <c r="E24" s="10"/>
      <c r="F24" s="10"/>
      <c r="G24" s="11"/>
      <c r="H24" s="11"/>
      <c r="I24" s="11">
        <f t="shared" ref="I24" si="5">SUM(H24-G24)</f>
        <v>0</v>
      </c>
      <c r="J24" s="31"/>
      <c r="K24" s="32"/>
      <c r="L24" s="32"/>
      <c r="M24" s="33"/>
    </row>
    <row r="25" spans="1:13" x14ac:dyDescent="0.55000000000000004">
      <c r="A25" s="7" t="s">
        <v>27</v>
      </c>
      <c r="B25" s="8">
        <v>0</v>
      </c>
      <c r="C25" s="8">
        <v>0</v>
      </c>
      <c r="D25" s="9">
        <f t="shared" ref="D25" si="6">SUM(C25-B25)</f>
        <v>0</v>
      </c>
      <c r="E25" s="10"/>
      <c r="F25" s="10"/>
      <c r="G25" s="11"/>
      <c r="H25" s="11"/>
      <c r="I25" s="11">
        <f t="shared" ref="I25" si="7">SUM(H25-G25)</f>
        <v>0</v>
      </c>
      <c r="J25" s="31"/>
      <c r="K25" s="32"/>
      <c r="L25" s="32"/>
      <c r="M25" s="33"/>
    </row>
    <row r="26" spans="1:13" x14ac:dyDescent="0.55000000000000004">
      <c r="A26" s="7" t="s">
        <v>27</v>
      </c>
      <c r="B26" s="8">
        <v>0</v>
      </c>
      <c r="C26" s="8">
        <v>0</v>
      </c>
      <c r="D26" s="9">
        <f t="shared" ref="D26" si="8">SUM(C26-B26)</f>
        <v>0</v>
      </c>
      <c r="E26" s="10"/>
      <c r="F26" s="10"/>
      <c r="G26" s="11"/>
      <c r="H26" s="11"/>
      <c r="I26" s="11">
        <f t="shared" ref="I26" si="9">SUM(H26-G26)</f>
        <v>0</v>
      </c>
      <c r="J26" s="31"/>
      <c r="K26" s="32"/>
      <c r="L26" s="32"/>
      <c r="M26" s="33"/>
    </row>
    <row r="27" spans="1:13" x14ac:dyDescent="0.55000000000000004">
      <c r="A27" s="7" t="s">
        <v>27</v>
      </c>
      <c r="B27" s="8">
        <v>0</v>
      </c>
      <c r="C27" s="8">
        <v>0</v>
      </c>
      <c r="D27" s="9">
        <f t="shared" ref="D27" si="10">SUM(C27-B27)</f>
        <v>0</v>
      </c>
      <c r="E27" s="10"/>
      <c r="F27" s="10"/>
      <c r="G27" s="11"/>
      <c r="H27" s="11"/>
      <c r="I27" s="11">
        <f t="shared" ref="I27" si="11">SUM(H27-G27)</f>
        <v>0</v>
      </c>
      <c r="J27" s="31"/>
      <c r="K27" s="32"/>
      <c r="L27" s="32"/>
      <c r="M27" s="33"/>
    </row>
    <row r="28" spans="1:13" x14ac:dyDescent="0.55000000000000004">
      <c r="A28" s="7" t="s">
        <v>27</v>
      </c>
      <c r="B28" s="8">
        <v>0</v>
      </c>
      <c r="C28" s="8">
        <v>0</v>
      </c>
      <c r="D28" s="9">
        <f t="shared" ref="D28" si="12">SUM(C28-B28)</f>
        <v>0</v>
      </c>
      <c r="E28" s="10"/>
      <c r="F28" s="10"/>
      <c r="G28" s="11"/>
      <c r="H28" s="11"/>
      <c r="I28" s="11">
        <f t="shared" ref="I28" si="13">SUM(H28-G28)</f>
        <v>0</v>
      </c>
      <c r="J28" s="31"/>
      <c r="K28" s="32"/>
      <c r="L28" s="32"/>
      <c r="M28" s="33"/>
    </row>
    <row r="29" spans="1:13" x14ac:dyDescent="0.55000000000000004">
      <c r="A29" s="7" t="s">
        <v>27</v>
      </c>
      <c r="B29" s="8">
        <v>0</v>
      </c>
      <c r="C29" s="8">
        <v>0</v>
      </c>
      <c r="D29" s="9">
        <f t="shared" ref="D29" si="14">SUM(C29-B29)</f>
        <v>0</v>
      </c>
      <c r="E29" s="10"/>
      <c r="F29" s="10"/>
      <c r="G29" s="11"/>
      <c r="H29" s="11"/>
      <c r="I29" s="11">
        <f t="shared" ref="I29" si="15">SUM(H29-G29)</f>
        <v>0</v>
      </c>
      <c r="J29" s="31"/>
      <c r="K29" s="32"/>
      <c r="L29" s="32"/>
      <c r="M29" s="33"/>
    </row>
    <row r="30" spans="1:13" x14ac:dyDescent="0.55000000000000004">
      <c r="A30" s="7" t="s">
        <v>27</v>
      </c>
      <c r="B30" s="8">
        <v>0</v>
      </c>
      <c r="C30" s="8">
        <v>0</v>
      </c>
      <c r="D30" s="9">
        <f t="shared" ref="D30" si="16">SUM(C30-B30)</f>
        <v>0</v>
      </c>
      <c r="E30" s="10"/>
      <c r="F30" s="10"/>
      <c r="G30" s="11"/>
      <c r="H30" s="11"/>
      <c r="I30" s="11">
        <f t="shared" ref="I30" si="17">SUM(H30-G30)</f>
        <v>0</v>
      </c>
      <c r="J30" s="31"/>
      <c r="K30" s="32"/>
      <c r="L30" s="32"/>
      <c r="M30" s="33"/>
    </row>
    <row r="31" spans="1:13" x14ac:dyDescent="0.55000000000000004">
      <c r="A31" s="7" t="s">
        <v>27</v>
      </c>
      <c r="B31" s="8">
        <v>0</v>
      </c>
      <c r="C31" s="8">
        <v>0</v>
      </c>
      <c r="D31" s="9">
        <f t="shared" ref="D31" si="18">SUM(C31-B31)</f>
        <v>0</v>
      </c>
      <c r="E31" s="10"/>
      <c r="F31" s="10"/>
      <c r="G31" s="11"/>
      <c r="H31" s="11"/>
      <c r="I31" s="11">
        <f t="shared" ref="I31" si="19">SUM(H31-G31)</f>
        <v>0</v>
      </c>
      <c r="J31" s="31"/>
      <c r="K31" s="32"/>
      <c r="L31" s="32"/>
      <c r="M31" s="33"/>
    </row>
    <row r="32" spans="1:13" x14ac:dyDescent="0.55000000000000004">
      <c r="A32" s="7" t="s">
        <v>27</v>
      </c>
      <c r="B32" s="8">
        <v>0</v>
      </c>
      <c r="C32" s="8">
        <v>0</v>
      </c>
      <c r="D32" s="9">
        <f t="shared" ref="D32" si="20">SUM(C32-B32)</f>
        <v>0</v>
      </c>
      <c r="E32" s="10"/>
      <c r="F32" s="10"/>
      <c r="G32" s="11"/>
      <c r="H32" s="11"/>
      <c r="I32" s="11">
        <f t="shared" ref="I32" si="21">SUM(H32-G32)</f>
        <v>0</v>
      </c>
      <c r="J32" s="31"/>
      <c r="K32" s="32"/>
      <c r="L32" s="32"/>
      <c r="M32" s="33"/>
    </row>
    <row r="33" spans="1:13" x14ac:dyDescent="0.55000000000000004">
      <c r="A33" s="7" t="s">
        <v>27</v>
      </c>
      <c r="B33" s="8">
        <v>0</v>
      </c>
      <c r="C33" s="8">
        <v>0</v>
      </c>
      <c r="D33" s="9">
        <f t="shared" ref="D33" si="22">SUM(C33-B33)</f>
        <v>0</v>
      </c>
      <c r="E33" s="10"/>
      <c r="F33" s="10"/>
      <c r="G33" s="11"/>
      <c r="H33" s="11"/>
      <c r="I33" s="11">
        <f t="shared" ref="I33" si="23">SUM(H33-G33)</f>
        <v>0</v>
      </c>
      <c r="J33" s="31"/>
      <c r="K33" s="32"/>
      <c r="L33" s="32"/>
      <c r="M33" s="33"/>
    </row>
    <row r="34" spans="1:13" x14ac:dyDescent="0.55000000000000004">
      <c r="A34" s="7" t="s">
        <v>27</v>
      </c>
      <c r="B34" s="8">
        <v>0</v>
      </c>
      <c r="C34" s="8">
        <v>0</v>
      </c>
      <c r="D34" s="9">
        <f t="shared" ref="D34" si="24">SUM(C34-B34)</f>
        <v>0</v>
      </c>
      <c r="E34" s="10"/>
      <c r="F34" s="10"/>
      <c r="G34" s="11"/>
      <c r="H34" s="11"/>
      <c r="I34" s="11">
        <f t="shared" ref="I34" si="25">SUM(H34-G34)</f>
        <v>0</v>
      </c>
      <c r="J34" s="31"/>
      <c r="K34" s="32"/>
      <c r="L34" s="32"/>
      <c r="M34" s="33"/>
    </row>
    <row r="35" spans="1:13" x14ac:dyDescent="0.55000000000000004">
      <c r="A35" s="57" t="s">
        <v>29</v>
      </c>
      <c r="B35" s="58"/>
      <c r="C35" s="59"/>
      <c r="D35" s="12">
        <f>SUM(D13:D34)</f>
        <v>0</v>
      </c>
      <c r="E35" s="60" t="s">
        <v>28</v>
      </c>
      <c r="F35" s="61"/>
      <c r="G35" s="61"/>
      <c r="H35" s="62"/>
      <c r="I35" s="13">
        <f>SUM(I13:I34)</f>
        <v>0</v>
      </c>
      <c r="J35" s="56"/>
      <c r="K35" s="56"/>
      <c r="L35" s="56"/>
      <c r="M35" s="56"/>
    </row>
    <row r="36" spans="1:13" x14ac:dyDescent="0.55000000000000004">
      <c r="A36" s="5" t="s">
        <v>14</v>
      </c>
      <c r="B36" s="55">
        <f>B4</f>
        <v>0</v>
      </c>
      <c r="C36" s="55"/>
      <c r="D36" s="55"/>
      <c r="E36" s="55"/>
      <c r="F36" s="55"/>
      <c r="G36" s="5" t="s">
        <v>17</v>
      </c>
      <c r="H36" s="55">
        <f>H4</f>
        <v>0</v>
      </c>
      <c r="I36" s="55"/>
      <c r="J36" s="55"/>
      <c r="K36" s="55"/>
      <c r="L36" s="55"/>
      <c r="M36" s="55"/>
    </row>
    <row r="37" spans="1:13" x14ac:dyDescent="0.55000000000000004">
      <c r="A37" s="5" t="s">
        <v>15</v>
      </c>
      <c r="B37" s="55">
        <f>B5</f>
        <v>0</v>
      </c>
      <c r="C37" s="55"/>
      <c r="D37" s="55"/>
      <c r="E37" s="55"/>
      <c r="F37" s="55"/>
      <c r="G37" s="5" t="s">
        <v>18</v>
      </c>
      <c r="H37" s="55">
        <f>H5</f>
        <v>0</v>
      </c>
      <c r="I37" s="55"/>
      <c r="J37" s="55"/>
      <c r="K37" s="55"/>
      <c r="L37" s="55"/>
      <c r="M37" s="55"/>
    </row>
    <row r="38" spans="1:13" x14ac:dyDescent="0.55000000000000004">
      <c r="A38" s="5" t="s">
        <v>16</v>
      </c>
      <c r="B38" s="55">
        <f>B6</f>
        <v>0</v>
      </c>
      <c r="C38" s="55"/>
      <c r="D38" s="55"/>
      <c r="E38" s="55"/>
      <c r="F38" s="55"/>
      <c r="G38" s="5" t="s">
        <v>19</v>
      </c>
      <c r="H38" s="55">
        <f>H6</f>
        <v>0</v>
      </c>
      <c r="I38" s="55"/>
      <c r="J38" s="55"/>
      <c r="K38" s="55"/>
      <c r="L38" s="55"/>
      <c r="M38" s="55"/>
    </row>
    <row r="39" spans="1:13" ht="9.75" customHeight="1" x14ac:dyDescent="0.55000000000000004">
      <c r="A39" s="63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5"/>
    </row>
    <row r="40" spans="1:13" x14ac:dyDescent="0.55000000000000004">
      <c r="A40" s="43" t="s">
        <v>21</v>
      </c>
      <c r="B40" s="43"/>
      <c r="C40" s="43" t="s">
        <v>22</v>
      </c>
      <c r="D40" s="43"/>
      <c r="E40" s="43" t="s">
        <v>23</v>
      </c>
      <c r="F40" s="43"/>
      <c r="G40" s="43" t="s">
        <v>24</v>
      </c>
      <c r="H40" s="43"/>
      <c r="I40" s="43"/>
      <c r="J40" s="43" t="s">
        <v>25</v>
      </c>
      <c r="K40" s="43"/>
      <c r="L40" s="43"/>
      <c r="M40" s="43"/>
    </row>
    <row r="41" spans="1:13" x14ac:dyDescent="0.55000000000000004">
      <c r="A41" s="24">
        <f>A9</f>
        <v>0</v>
      </c>
      <c r="B41" s="24"/>
      <c r="C41" s="24">
        <f>C9</f>
        <v>0</v>
      </c>
      <c r="D41" s="24"/>
      <c r="E41" s="24">
        <f>E9</f>
        <v>0</v>
      </c>
      <c r="F41" s="24"/>
      <c r="G41" s="24">
        <f>G9</f>
        <v>0</v>
      </c>
      <c r="H41" s="24"/>
      <c r="I41" s="24"/>
      <c r="J41" s="24">
        <f>J9</f>
        <v>0</v>
      </c>
      <c r="K41" s="24"/>
      <c r="L41" s="24"/>
      <c r="M41" s="24"/>
    </row>
    <row r="42" spans="1:13" ht="21.75" x14ac:dyDescent="0.6">
      <c r="A42" s="34" t="s">
        <v>30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 ht="21.75" x14ac:dyDescent="0.55000000000000004">
      <c r="A43" s="35" t="s">
        <v>31</v>
      </c>
      <c r="B43" s="35"/>
      <c r="C43" s="35"/>
      <c r="D43" s="35"/>
      <c r="E43" s="35"/>
      <c r="F43" s="35"/>
      <c r="G43" s="36" t="s">
        <v>32</v>
      </c>
      <c r="H43" s="36"/>
      <c r="I43" s="36"/>
      <c r="J43" s="36"/>
      <c r="K43" s="36"/>
      <c r="L43" s="36"/>
      <c r="M43" s="36"/>
    </row>
    <row r="44" spans="1:13" x14ac:dyDescent="0.55000000000000004">
      <c r="A44" s="37" t="s">
        <v>33</v>
      </c>
      <c r="B44" s="37"/>
      <c r="C44" s="38" t="s">
        <v>38</v>
      </c>
      <c r="D44" s="38"/>
      <c r="E44" s="4" t="s">
        <v>39</v>
      </c>
      <c r="F44" s="4" t="s">
        <v>4</v>
      </c>
      <c r="G44" s="37" t="s">
        <v>40</v>
      </c>
      <c r="H44" s="37"/>
      <c r="I44" s="38" t="s">
        <v>38</v>
      </c>
      <c r="J44" s="38"/>
      <c r="K44" s="4" t="s">
        <v>39</v>
      </c>
      <c r="L44" s="43" t="s">
        <v>4</v>
      </c>
      <c r="M44" s="43"/>
    </row>
    <row r="45" spans="1:13" x14ac:dyDescent="0.55000000000000004">
      <c r="A45" s="37"/>
      <c r="B45" s="37"/>
      <c r="C45" s="39">
        <v>27</v>
      </c>
      <c r="D45" s="39"/>
      <c r="E45" s="9">
        <f>D35</f>
        <v>0</v>
      </c>
      <c r="F45" s="14">
        <f>C45 * 24 * MAX(TIME(8,0,0), E45)</f>
        <v>216</v>
      </c>
      <c r="G45" s="37"/>
      <c r="H45" s="37"/>
      <c r="I45" s="40">
        <v>0</v>
      </c>
      <c r="J45" s="41"/>
      <c r="K45" s="11">
        <v>0</v>
      </c>
      <c r="L45" s="42">
        <f>SUM(I45*K45)</f>
        <v>0</v>
      </c>
      <c r="M45" s="33"/>
    </row>
    <row r="46" spans="1:13" x14ac:dyDescent="0.55000000000000004">
      <c r="A46" s="37" t="s">
        <v>34</v>
      </c>
      <c r="B46" s="37"/>
      <c r="C46" s="38" t="s">
        <v>38</v>
      </c>
      <c r="D46" s="38"/>
      <c r="E46" s="4" t="s">
        <v>39</v>
      </c>
      <c r="F46" s="4" t="s">
        <v>4</v>
      </c>
      <c r="G46" s="37" t="s">
        <v>41</v>
      </c>
      <c r="H46" s="37"/>
      <c r="I46" s="38" t="s">
        <v>38</v>
      </c>
      <c r="J46" s="38"/>
      <c r="K46" s="4" t="s">
        <v>39</v>
      </c>
      <c r="L46" s="43" t="s">
        <v>4</v>
      </c>
      <c r="M46" s="43"/>
    </row>
    <row r="47" spans="1:13" x14ac:dyDescent="0.55000000000000004">
      <c r="A47" s="37"/>
      <c r="B47" s="37"/>
      <c r="C47" s="39">
        <v>1.2</v>
      </c>
      <c r="D47" s="39"/>
      <c r="E47" s="11">
        <f>I35</f>
        <v>0</v>
      </c>
      <c r="F47" s="15">
        <f>SUM(C47*E47)</f>
        <v>0</v>
      </c>
      <c r="G47" s="37"/>
      <c r="H47" s="37"/>
      <c r="I47" s="40">
        <v>0</v>
      </c>
      <c r="J47" s="41"/>
      <c r="K47" s="11">
        <v>0</v>
      </c>
      <c r="L47" s="42">
        <f>SUM(I47*K47)</f>
        <v>0</v>
      </c>
      <c r="M47" s="33"/>
    </row>
    <row r="48" spans="1:13" x14ac:dyDescent="0.55000000000000004">
      <c r="A48" s="37" t="s">
        <v>35</v>
      </c>
      <c r="B48" s="37"/>
      <c r="C48" s="38" t="s">
        <v>38</v>
      </c>
      <c r="D48" s="38"/>
      <c r="E48" s="4" t="s">
        <v>39</v>
      </c>
      <c r="F48" s="4" t="s">
        <v>4</v>
      </c>
      <c r="G48" s="37" t="s">
        <v>42</v>
      </c>
      <c r="H48" s="37"/>
      <c r="I48" s="38" t="s">
        <v>38</v>
      </c>
      <c r="J48" s="38"/>
      <c r="K48" s="4" t="s">
        <v>39</v>
      </c>
      <c r="L48" s="43" t="s">
        <v>4</v>
      </c>
      <c r="M48" s="43"/>
    </row>
    <row r="49" spans="1:13" x14ac:dyDescent="0.55000000000000004">
      <c r="A49" s="37"/>
      <c r="B49" s="37"/>
      <c r="C49" s="39">
        <v>0</v>
      </c>
      <c r="D49" s="39"/>
      <c r="E49" s="17">
        <v>0</v>
      </c>
      <c r="F49" s="14">
        <f>SUM(C49*E49)</f>
        <v>0</v>
      </c>
      <c r="G49" s="37"/>
      <c r="H49" s="37"/>
      <c r="I49" s="40">
        <v>0</v>
      </c>
      <c r="J49" s="41"/>
      <c r="K49" s="11">
        <v>0</v>
      </c>
      <c r="L49" s="42">
        <f>SUM(I49*K49)</f>
        <v>0</v>
      </c>
      <c r="M49" s="33"/>
    </row>
    <row r="50" spans="1:13" x14ac:dyDescent="0.55000000000000004">
      <c r="A50" s="37" t="s">
        <v>36</v>
      </c>
      <c r="B50" s="37"/>
      <c r="C50" s="38" t="s">
        <v>38</v>
      </c>
      <c r="D50" s="38"/>
      <c r="E50" s="4" t="s">
        <v>39</v>
      </c>
      <c r="F50" s="4" t="s">
        <v>4</v>
      </c>
      <c r="G50" s="37" t="s">
        <v>43</v>
      </c>
      <c r="H50" s="37"/>
      <c r="I50" s="38" t="s">
        <v>38</v>
      </c>
      <c r="J50" s="38"/>
      <c r="K50" s="4" t="s">
        <v>39</v>
      </c>
      <c r="L50" s="43" t="s">
        <v>4</v>
      </c>
      <c r="M50" s="43"/>
    </row>
    <row r="51" spans="1:13" x14ac:dyDescent="0.55000000000000004">
      <c r="A51" s="37"/>
      <c r="B51" s="37"/>
      <c r="C51" s="39">
        <v>0</v>
      </c>
      <c r="D51" s="39"/>
      <c r="E51" s="17">
        <v>0</v>
      </c>
      <c r="F51" s="14">
        <f>MIN(C51*E51,130*E51)</f>
        <v>0</v>
      </c>
      <c r="G51" s="37"/>
      <c r="H51" s="37"/>
      <c r="I51" s="40">
        <v>0</v>
      </c>
      <c r="J51" s="41"/>
      <c r="K51" s="11">
        <v>0</v>
      </c>
      <c r="L51" s="42">
        <f>SUM(I51*K51)</f>
        <v>0</v>
      </c>
      <c r="M51" s="33"/>
    </row>
    <row r="52" spans="1:13" x14ac:dyDescent="0.55000000000000004">
      <c r="A52" s="37" t="s">
        <v>37</v>
      </c>
      <c r="B52" s="37"/>
      <c r="C52" s="38" t="s">
        <v>38</v>
      </c>
      <c r="D52" s="38"/>
      <c r="E52" s="4" t="s">
        <v>39</v>
      </c>
      <c r="F52" s="4" t="s">
        <v>4</v>
      </c>
      <c r="G52" s="37" t="s">
        <v>44</v>
      </c>
      <c r="H52" s="37"/>
      <c r="I52" s="38" t="s">
        <v>38</v>
      </c>
      <c r="J52" s="38"/>
      <c r="K52" s="4" t="s">
        <v>39</v>
      </c>
      <c r="L52" s="43" t="s">
        <v>4</v>
      </c>
      <c r="M52" s="43"/>
    </row>
    <row r="53" spans="1:13" x14ac:dyDescent="0.55000000000000004">
      <c r="A53" s="37"/>
      <c r="B53" s="37"/>
      <c r="C53" s="39">
        <v>0</v>
      </c>
      <c r="D53" s="39"/>
      <c r="E53" s="17">
        <v>0</v>
      </c>
      <c r="F53" s="16">
        <f>MIN(C53*E53,35*E53)</f>
        <v>0</v>
      </c>
      <c r="G53" s="37"/>
      <c r="H53" s="37"/>
      <c r="I53" s="40">
        <v>0</v>
      </c>
      <c r="J53" s="41"/>
      <c r="K53" s="11">
        <v>0</v>
      </c>
      <c r="L53" s="42">
        <f>SUM(I53*K53)</f>
        <v>0</v>
      </c>
      <c r="M53" s="33"/>
    </row>
    <row r="54" spans="1:13" ht="21.75" x14ac:dyDescent="0.6">
      <c r="A54" s="34" t="s">
        <v>45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 x14ac:dyDescent="0.55000000000000004">
      <c r="A55" s="52"/>
      <c r="B55" s="52"/>
      <c r="C55" s="52"/>
      <c r="D55" s="52"/>
      <c r="E55" s="52"/>
      <c r="F55" s="4" t="s">
        <v>46</v>
      </c>
      <c r="G55" s="50">
        <f>F45</f>
        <v>216</v>
      </c>
      <c r="H55" s="50"/>
      <c r="I55" s="53"/>
      <c r="J55" s="53"/>
      <c r="K55" s="53"/>
      <c r="L55" s="53"/>
      <c r="M55" s="53"/>
    </row>
    <row r="56" spans="1:13" x14ac:dyDescent="0.55000000000000004">
      <c r="A56" s="52"/>
      <c r="B56" s="52"/>
      <c r="C56" s="52"/>
      <c r="D56" s="52"/>
      <c r="E56" s="52"/>
      <c r="F56" s="4" t="s">
        <v>47</v>
      </c>
      <c r="G56" s="50">
        <f>F47</f>
        <v>0</v>
      </c>
      <c r="H56" s="50"/>
      <c r="I56" s="53"/>
      <c r="J56" s="53"/>
      <c r="K56" s="53"/>
      <c r="L56" s="53"/>
      <c r="M56" s="53"/>
    </row>
    <row r="57" spans="1:13" x14ac:dyDescent="0.55000000000000004">
      <c r="A57" s="52"/>
      <c r="B57" s="52"/>
      <c r="C57" s="52"/>
      <c r="D57" s="52"/>
      <c r="E57" s="52"/>
      <c r="F57" s="4" t="s">
        <v>48</v>
      </c>
      <c r="G57" s="50">
        <f>SUM(F49,F51,F53)</f>
        <v>0</v>
      </c>
      <c r="H57" s="50"/>
      <c r="I57" s="53"/>
      <c r="J57" s="53"/>
      <c r="K57" s="53"/>
      <c r="L57" s="53"/>
      <c r="M57" s="53"/>
    </row>
    <row r="58" spans="1:13" x14ac:dyDescent="0.55000000000000004">
      <c r="A58" s="52"/>
      <c r="B58" s="52"/>
      <c r="C58" s="52"/>
      <c r="D58" s="52"/>
      <c r="E58" s="52"/>
      <c r="F58" s="4" t="s">
        <v>49</v>
      </c>
      <c r="G58" s="50"/>
      <c r="H58" s="50"/>
      <c r="I58" s="53"/>
      <c r="J58" s="53"/>
      <c r="K58" s="53"/>
      <c r="L58" s="53"/>
      <c r="M58" s="53"/>
    </row>
    <row r="59" spans="1:13" x14ac:dyDescent="0.55000000000000004">
      <c r="A59" s="52"/>
      <c r="B59" s="52"/>
      <c r="C59" s="52"/>
      <c r="D59" s="52"/>
      <c r="E59" s="52"/>
      <c r="F59" s="18" t="s">
        <v>0</v>
      </c>
      <c r="G59" s="51">
        <f>SUM(G55+G56+G57-G58)</f>
        <v>216</v>
      </c>
      <c r="H59" s="51"/>
      <c r="I59" s="53"/>
      <c r="J59" s="53"/>
      <c r="K59" s="53"/>
      <c r="L59" s="53"/>
      <c r="M59" s="53"/>
    </row>
    <row r="60" spans="1:13" ht="21.75" x14ac:dyDescent="0.6">
      <c r="A60" s="34" t="s">
        <v>50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 x14ac:dyDescent="0.55000000000000004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spans="1:13" x14ac:dyDescent="0.55000000000000004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spans="1:13" x14ac:dyDescent="0.55000000000000004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spans="1:13" x14ac:dyDescent="0.5500000000000000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spans="1:13" x14ac:dyDescent="0.55000000000000004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spans="1:13" x14ac:dyDescent="0.55000000000000004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spans="1:13" x14ac:dyDescent="0.55000000000000004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spans="1:13" x14ac:dyDescent="0.55000000000000004">
      <c r="A68" s="44" t="s">
        <v>51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6"/>
    </row>
    <row r="69" spans="1:13" ht="21.75" x14ac:dyDescent="0.55000000000000004">
      <c r="A69" s="47" t="s">
        <v>52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9"/>
    </row>
    <row r="70" spans="1:13" ht="21.75" x14ac:dyDescent="0.55000000000000004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</sheetData>
  <sheetProtection algorithmName="SHA-512" hashValue="rTS/kxLqpEcxHGbCIUgYLaVSsm/ccmMzL5m+CKsk3aA5SdPQO/UTY1mcR4QP9jhCWsMoONWRa/uFObfTosbAlA==" saltValue="iNQ7ZIghKFB5AAIxXKVk+Q==" spinCount="100000" sheet="1" objects="1" scenarios="1"/>
  <protectedRanges>
    <protectedRange sqref="A61:M67" name="OBSERVAÇÃO"/>
    <protectedRange sqref="H4:M6" name="DADOSVISTORIADOR"/>
    <protectedRange sqref="J13:M34" name="DETALHE DO DESLOCAMENTO"/>
    <protectedRange sqref="E13:F34" name="ORIGEMeDESTINO"/>
    <protectedRange sqref="I53:K53" name="OUTROS"/>
    <protectedRange sqref="I49:K49" name="EMPILHADEIRA"/>
    <protectedRange sqref="I45:K45" name="MAODEOBRA"/>
    <protectedRange sqref="C51:E51" name="HOSPEDAGEM"/>
    <protectedRange sqref="A13:C34" name="DATAeHORA"/>
    <protectedRange sqref="C49:E49" name="PEDAGIO"/>
    <protectedRange sqref="C53:E53" name="REFEIÇÃO"/>
    <protectedRange sqref="I47:K47" name="MUNCK"/>
    <protectedRange sqref="I51:K51" name="VIGILANCIA"/>
    <protectedRange sqref="G58:H58" name="ADIANTAMENTO"/>
    <protectedRange sqref="G13:H34" name="KMINICIOeFIM"/>
    <protectedRange sqref="B4:F6" name="DADOSEGURADORA"/>
    <protectedRange sqref="A9:M9 A41:M41" name="DADOSBANCO"/>
  </protectedRanges>
  <mergeCells count="120">
    <mergeCell ref="A41:B41"/>
    <mergeCell ref="C41:D41"/>
    <mergeCell ref="E41:F41"/>
    <mergeCell ref="G41:I41"/>
    <mergeCell ref="J41:M41"/>
    <mergeCell ref="A39:M39"/>
    <mergeCell ref="A40:B40"/>
    <mergeCell ref="C40:D40"/>
    <mergeCell ref="E40:F40"/>
    <mergeCell ref="G40:I40"/>
    <mergeCell ref="J40:M40"/>
    <mergeCell ref="B36:F36"/>
    <mergeCell ref="B37:F37"/>
    <mergeCell ref="B38:F38"/>
    <mergeCell ref="H36:M36"/>
    <mergeCell ref="H37:M37"/>
    <mergeCell ref="H38:M38"/>
    <mergeCell ref="J34:M34"/>
    <mergeCell ref="J33:M33"/>
    <mergeCell ref="J32:M32"/>
    <mergeCell ref="J35:M35"/>
    <mergeCell ref="A35:C35"/>
    <mergeCell ref="E35:H35"/>
    <mergeCell ref="J31:M31"/>
    <mergeCell ref="J30:M30"/>
    <mergeCell ref="J29:M29"/>
    <mergeCell ref="J28:M28"/>
    <mergeCell ref="J27:M27"/>
    <mergeCell ref="J26:M26"/>
    <mergeCell ref="J25:M25"/>
    <mergeCell ref="J24:M24"/>
    <mergeCell ref="J23:M23"/>
    <mergeCell ref="A68:M68"/>
    <mergeCell ref="A69:M69"/>
    <mergeCell ref="A54:M54"/>
    <mergeCell ref="G55:H55"/>
    <mergeCell ref="G56:H56"/>
    <mergeCell ref="G57:H57"/>
    <mergeCell ref="G58:H58"/>
    <mergeCell ref="G59:H59"/>
    <mergeCell ref="A55:E59"/>
    <mergeCell ref="I55:M59"/>
    <mergeCell ref="A60:M60"/>
    <mergeCell ref="A61:M67"/>
    <mergeCell ref="L53:M53"/>
    <mergeCell ref="L44:M44"/>
    <mergeCell ref="L46:M46"/>
    <mergeCell ref="L48:M48"/>
    <mergeCell ref="L50:M50"/>
    <mergeCell ref="L52:M52"/>
    <mergeCell ref="L45:M45"/>
    <mergeCell ref="L47:M47"/>
    <mergeCell ref="L49:M49"/>
    <mergeCell ref="L51:M51"/>
    <mergeCell ref="A52:B53"/>
    <mergeCell ref="C53:D53"/>
    <mergeCell ref="I53:J53"/>
    <mergeCell ref="I50:J50"/>
    <mergeCell ref="I52:J52"/>
    <mergeCell ref="C44:D44"/>
    <mergeCell ref="C46:D46"/>
    <mergeCell ref="C48:D48"/>
    <mergeCell ref="C50:D50"/>
    <mergeCell ref="C52:D52"/>
    <mergeCell ref="C45:D45"/>
    <mergeCell ref="C47:D47"/>
    <mergeCell ref="C49:D49"/>
    <mergeCell ref="C51:D51"/>
    <mergeCell ref="A48:B49"/>
    <mergeCell ref="A50:B51"/>
    <mergeCell ref="I48:J48"/>
    <mergeCell ref="G48:H49"/>
    <mergeCell ref="G50:H51"/>
    <mergeCell ref="G52:H53"/>
    <mergeCell ref="I45:J45"/>
    <mergeCell ref="I47:J47"/>
    <mergeCell ref="I49:J49"/>
    <mergeCell ref="I51:J51"/>
    <mergeCell ref="A42:M42"/>
    <mergeCell ref="A43:F43"/>
    <mergeCell ref="G43:M43"/>
    <mergeCell ref="A44:B45"/>
    <mergeCell ref="A46:B47"/>
    <mergeCell ref="I44:J44"/>
    <mergeCell ref="I46:J46"/>
    <mergeCell ref="G44:H45"/>
    <mergeCell ref="G46:H47"/>
    <mergeCell ref="J19:M19"/>
    <mergeCell ref="J20:M20"/>
    <mergeCell ref="J21:M21"/>
    <mergeCell ref="J22:M22"/>
    <mergeCell ref="J13:M13"/>
    <mergeCell ref="J14:M14"/>
    <mergeCell ref="J15:M15"/>
    <mergeCell ref="J16:M16"/>
    <mergeCell ref="J17:M17"/>
    <mergeCell ref="J18:M18"/>
    <mergeCell ref="J8:M8"/>
    <mergeCell ref="A9:B9"/>
    <mergeCell ref="C9:D9"/>
    <mergeCell ref="E9:F9"/>
    <mergeCell ref="G9:I9"/>
    <mergeCell ref="J9:M9"/>
    <mergeCell ref="J12:M12"/>
    <mergeCell ref="A1:M2"/>
    <mergeCell ref="A3:F3"/>
    <mergeCell ref="G3:M3"/>
    <mergeCell ref="B4:F4"/>
    <mergeCell ref="B5:F5"/>
    <mergeCell ref="B6:F6"/>
    <mergeCell ref="H4:M4"/>
    <mergeCell ref="H5:M5"/>
    <mergeCell ref="H6:M6"/>
    <mergeCell ref="A11:M11"/>
    <mergeCell ref="A7:M7"/>
    <mergeCell ref="A8:B8"/>
    <mergeCell ref="C8:D8"/>
    <mergeCell ref="E8:F8"/>
    <mergeCell ref="G8:I8"/>
    <mergeCell ref="A10:M10"/>
  </mergeCells>
  <phoneticPr fontId="8" type="noConversion"/>
  <pageMargins left="0.25" right="0.25" top="0.75" bottom="0.75" header="0.3" footer="0.3"/>
  <pageSetup paperSize="9" scale="74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Souza</dc:creator>
  <cp:lastModifiedBy>Gabriel Souza</cp:lastModifiedBy>
  <cp:lastPrinted>2025-09-10T11:25:02Z</cp:lastPrinted>
  <dcterms:created xsi:type="dcterms:W3CDTF">2025-09-09T17:05:48Z</dcterms:created>
  <dcterms:modified xsi:type="dcterms:W3CDTF">2025-09-12T20:14:27Z</dcterms:modified>
</cp:coreProperties>
</file>